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exi\PycharmProjects\TPS\Dj_TPS\tph_system\static\tph_system\files\"/>
    </mc:Choice>
  </mc:AlternateContent>
  <xr:revisionPtr revIDLastSave="0" documentId="13_ncr:1_{53893ACA-3BF6-4968-A13C-BA4286B250BC}" xr6:coauthVersionLast="45" xr6:coauthVersionMax="45" xr10:uidLastSave="{00000000-0000-0000-0000-000000000000}"/>
  <bookViews>
    <workbookView xWindow="-108" yWindow="-108" windowWidth="30936" windowHeight="16896" activeTab="1" xr2:uid="{00000000-000D-0000-FFFF-FFFF00000000}"/>
  </bookViews>
  <sheets>
    <sheet name="Данные" sheetId="1" r:id="rId1"/>
    <sheet name="Аналитика" sheetId="2" r:id="rId2"/>
    <sheet name="Общая сводная таблица" sheetId="4" r:id="rId3"/>
    <sheet name="Таблицы для диаграмм" sheetId="3" r:id="rId4"/>
  </sheets>
  <definedNames>
    <definedName name="_xlnm._FilterDatabase" localSheetId="0" hidden="1">Данные!$A$1:$K$64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<sst xmlns="http://schemas.openxmlformats.org/spreadsheetml/2006/main" count="37" uniqueCount="22">
  <si>
    <t>Дата</t>
  </si>
  <si>
    <t>Точка</t>
  </si>
  <si>
    <t>Администратор</t>
  </si>
  <si>
    <t>Фотограф</t>
  </si>
  <si>
    <t>Тип продажи</t>
  </si>
  <si>
    <t>Способ оплаты</t>
  </si>
  <si>
    <t>Кол-во фотографий</t>
  </si>
  <si>
    <t>Сумма</t>
  </si>
  <si>
    <t>Email клиента</t>
  </si>
  <si>
    <t>Телефон клиента</t>
  </si>
  <si>
    <t>Комментарий</t>
  </si>
  <si>
    <t>Итоги по продажам:</t>
  </si>
  <si>
    <t>Общая касса</t>
  </si>
  <si>
    <t>Количество продаж</t>
  </si>
  <si>
    <t>Средняя сумма продаж</t>
  </si>
  <si>
    <t>Самая большая продажа</t>
  </si>
  <si>
    <t>Самая маленькая продажа</t>
  </si>
  <si>
    <t>Названия строк</t>
  </si>
  <si>
    <t>(пусто)</t>
  </si>
  <si>
    <t>Общий итог</t>
  </si>
  <si>
    <t>Сумма по полю Сумма</t>
  </si>
  <si>
    <t>Количество по полю Тип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</si>
</sst>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00000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0" xfId="0" applyNumberFormat="1"/>
    <xf numFmtId="164" fontId="1" fillId="0" borderId="0" xfId="0" applyNumberFormat="1" applyFon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[excel_template_Sales.xlsx]Таблицы для диаграмм!Типы продаж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Количество типов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</c:pivotFmt>
      <c:pivotFmt>
        <c:idx val="18"/>
      </c:pivotFmt>
      <c:pivotFmt>
        <c:idx val="19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</c:pivotFmt>
      <c:pivotFmt>
        <c:idx val="2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</c:pivotFmt>
      <c:pivotFmt>
        <c:idx val="2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'Таблицы для диаграмм'!$B$1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B0-4197-B03E-783ACD8ED56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B0-4197-B03E-783ACD8ED56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B0-4197-B03E-783ACD8ED56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4B0-4197-B03E-783ACD8ED56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4B0-4197-B03E-783ACD8ED56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4B0-4197-B03E-783ACD8ED56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4B0-4197-B03E-783ACD8ED56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4B0-4197-B03E-783ACD8ED56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4B0-4197-B03E-783ACD8ED56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4B0-4197-B03E-783ACD8ED56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4B0-4197-B03E-783ACD8ED5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'Таблицы для диаграмм'!$A$2</c:f>
              <c:strCache>
                <c:ptCount val="1"/>
                <c:pt idx="0">
                  <c:v>Общий итог</c:v>
                </c:pt>
              </c:strCache>
            </c:strRef>
          </c:cat>
          <c:val>
            <c:numRef>
              <c:f>'Таблицы для диаграмм'!$B$2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6-B4B0-4197-B03E-783ACD8ED56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[excel_template_Sales.xlsx]Таблицы для диаграмм!Суммы по точкам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Суммы по точкам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'Таблицы для диаграмм'!$H$1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'Таблицы для диаграмм'!$G$2</c:f>
              <c:strCache>
                <c:ptCount val="1"/>
                <c:pt idx="0">
                  <c:v>Общий итог</c:v>
                </c:pt>
              </c:strCache>
            </c:strRef>
          </c:cat>
          <c:val>
            <c:numRef>
              <c:f>'Таблицы для диаграмм'!$H$2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8DA2-46F4-B1F7-C161BC84A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9574720"/>
        <c:axId val="809080528"/>
      </c:barChart>
      <c:catAx>
        <c:axId val="91957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080528"/>
        <c:crosses val="autoZero"/>
        <c:auto val="1"/>
        <c:lblAlgn val="ctr"/>
        <c:lblOffset val="100"/>
        <c:noMultiLvlLbl val="0"/>
      </c:catAx>
      <c:valAx>
        <c:axId val="80908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957472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[excel_template_Sales.xlsx]Таблицы для диаграмм!Способы оплаты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Суммы по способам оплаты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'Таблицы для диаграмм'!$E$1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'Таблицы для диаграмм'!$D$2</c:f>
              <c:strCache>
                <c:ptCount val="1"/>
                <c:pt idx="0">
                  <c:v>Общий итог</c:v>
                </c:pt>
              </c:strCache>
            </c:strRef>
          </c:cat>
          <c:val>
            <c:numRef>
              <c:f>'Таблицы для диаграмм'!$E$2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6D8A-4F54-9444-4F9C6AC64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2951760"/>
        <c:axId val="599639312"/>
      </c:barChart>
      <c:catAx>
        <c:axId val="91295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9639312"/>
        <c:crosses val="autoZero"/>
        <c:auto val="1"/>
        <c:lblAlgn val="ctr"/>
        <c:lblOffset val="100"/>
        <c:noMultiLvlLbl val="0"/>
      </c:catAx>
      <c:valAx>
        <c:axId val="59963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29517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[excel_template_Sales.xlsx]Таблицы для диаграмм!Сумма по дате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Суммы по дням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solidFill>
              <a:sysClr val="windowText" lastClr="0000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'Таблицы для диаграмм'!$K$1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'Таблицы для диаграмм'!$J$2</c:f>
              <c:strCache>
                <c:ptCount val="1"/>
                <c:pt idx="0">
                  <c:v>Общий итог</c:v>
                </c:pt>
              </c:strCache>
            </c:strRef>
          </c:cat>
          <c:val>
            <c:numRef>
              <c:f>'Таблицы для диаграмм'!$K$2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45D5-4F59-9515-B8906BB1D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0435664"/>
        <c:axId val="1030461616"/>
      </c:barChart>
      <c:catAx>
        <c:axId val="103043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0461616"/>
        <c:crosses val="autoZero"/>
        <c:auto val="1"/>
        <c:lblAlgn val="ctr"/>
        <c:lblOffset val="100"/>
        <c:noMultiLvlLbl val="0"/>
      </c:catAx>
      <c:valAx>
        <c:axId val="103046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04356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[excel_template_Sales.xlsx]Таблицы для диаграмм!Суммы типов продажи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Суммы по типам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'Таблицы для диаграмм'!$N$1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'Таблицы для диаграмм'!$M$2</c:f>
              <c:strCache>
                <c:ptCount val="1"/>
                <c:pt idx="0">
                  <c:v>Общий итог</c:v>
                </c:pt>
              </c:strCache>
            </c:strRef>
          </c:cat>
          <c:val>
            <c:numRef>
              <c:f>'Таблицы для диаграмм'!$N$2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84E-44D3-A3AB-518246381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9072304"/>
        <c:axId val="744378208"/>
      </c:barChart>
      <c:catAx>
        <c:axId val="80907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378208"/>
        <c:crosses val="autoZero"/>
        <c:auto val="1"/>
        <c:lblAlgn val="ctr"/>
        <c:lblOffset val="100"/>
        <c:noMultiLvlLbl val="0"/>
      </c:catAx>
      <c:valAx>
        <c:axId val="74437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07230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0</xdr:rowOff>
    </xdr:from>
    <xdr:to>
      <xdr:col>11</xdr:col>
      <xdr:colOff>381000</xdr:colOff>
      <xdr:row>24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A82BD76-C17A-4688-A81D-BCF17FEB6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</xdr:colOff>
      <xdr:row>26</xdr:row>
      <xdr:rowOff>15240</xdr:rowOff>
    </xdr:from>
    <xdr:to>
      <xdr:col>11</xdr:col>
      <xdr:colOff>419100</xdr:colOff>
      <xdr:row>46</xdr:row>
      <xdr:rowOff>175260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42E8E16-1600-4A9A-B6E5-E098D750A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</xdr:colOff>
      <xdr:row>1</xdr:row>
      <xdr:rowOff>7620</xdr:rowOff>
    </xdr:from>
    <xdr:to>
      <xdr:col>26</xdr:col>
      <xdr:colOff>0</xdr:colOff>
      <xdr:row>20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FF1BDA4-2181-4FCA-BD4B-D358753AA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7620</xdr:colOff>
      <xdr:row>48</xdr:row>
      <xdr:rowOff>91440</xdr:rowOff>
    </xdr:from>
    <xdr:to>
      <xdr:col>25</xdr:col>
      <xdr:colOff>601980</xdr:colOff>
      <xdr:row>77</xdr:row>
      <xdr:rowOff>152400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CF59EE7-820D-4FF1-B377-D5E85780A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15240</xdr:colOff>
      <xdr:row>21</xdr:row>
      <xdr:rowOff>76200</xdr:rowOff>
    </xdr:from>
    <xdr:to>
      <xdr:col>26</xdr:col>
      <xdr:colOff>15240</xdr:colOff>
      <xdr:row>47</xdr:row>
      <xdr:rowOff>15240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CC44263-838C-4577-BBD3-772F334B9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Александр Кривов" refreshedDate="45971.781359259257" createdVersion="6" refreshedVersion="6" minRefreshableVersion="3" recordCount="1" xr:uid="{528C1A67-F896-43C9-A227-EB941CB2E43B}">
  <cacheSource type="worksheet">
    <worksheetSource ref="A1:H1048576" sheet="Данные"/>
  </cacheSource>
  <cacheFields count="8">
    <cacheField name="Дата" numFmtId="164">
      <sharedItems containsNonDate="0" containsDate="1" containsString="0" containsBlank="1" minDate="2025-10-25T00:00:00" maxDate="2025-10-27T00:00:00" count="3">
        <m/>
        <d v="2025-10-25T00:00:00" u="1"/>
        <d v="2025-10-26T00:00:00" u="1"/>
      </sharedItems>
    </cacheField>
    <cacheField name="Точка" numFmtId="0">
      <sharedItems containsNonDate="0" containsBlank="1" count="7">
        <m/>
        <s v="Laserlend Каширка" u="1"/>
        <s v="Laserland Гагаринский" u="1"/>
        <s v="Laserland Кунцево" u="1"/>
        <s v="Laserlend Беговая" u="1"/>
        <s v="Laserland Азовский" u="1"/>
        <s v="Laserlend Мякинино" u="1"/>
      </sharedItems>
    </cacheField>
    <cacheField name="Администратор" numFmtId="0">
      <sharedItems containsNonDate="0" containsString="0" containsBlank="1"/>
    </cacheField>
    <cacheField name="Фотограф" numFmtId="0">
      <sharedItems containsNonDate="0" containsString="0" containsBlank="1"/>
    </cacheField>
    <cacheField name="Тип продажи" numFmtId="0">
      <sharedItems containsNonDate="0" containsBlank="1" count="14">
        <m/>
        <s v="Печать 15x20" u="1"/>
        <s v="Ср. магн." u="1"/>
        <s v="Заказная видеосъемка" u="1"/>
        <s v="Заказ выездной" u="1"/>
        <s v="Email (фото)" u="1"/>
        <s v="Исходники заказа" u="1"/>
        <s v="Бол. магн." u="1"/>
        <s v="Заказной фотосет" u="1"/>
        <s v="Печать 10x15" u="1"/>
        <s v="Вин. магн." u="1"/>
        <s v="Доп час к заказу" u="1"/>
        <s v="Email (все)" u="1"/>
        <s v="Печать A4" u="1"/>
      </sharedItems>
    </cacheField>
    <cacheField name="Способ оплаты" numFmtId="0">
      <sharedItems containsNonDate="0" containsBlank="1" count="6">
        <m/>
        <s v="Оплата через парк" u="1"/>
        <s v="Перевод по номеру телефона" u="1"/>
        <s v="Наличные" u="1"/>
        <s v="Предоплаченный заказ" u="1"/>
        <s v="Карта" u="1"/>
      </sharedItems>
    </cacheField>
    <cacheField name="Кол-во фотографий" numFmtId="0">
      <sharedItems containsNonDate="0" containsString="0" containsBlank="1"/>
    </cacheField>
    <cacheField name="Сумма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m/>
    <m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DC239-ED05-4AFB-9E80-7EED9A99D419}" name="Сводная таблица7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:B4" firstHeaderRow="1" firstDataRow="1" firstDataCol="1"/>
  <pivotFields count="8">
    <pivotField showAll="0"/>
    <pivotField axis="axisRow" showAll="0">
      <items count="8">
        <item m="1" x="5"/>
        <item m="1" x="2"/>
        <item m="1" x="3"/>
        <item m="1" x="4"/>
        <item m="1" x="1"/>
        <item m="1" x="6"/>
        <item x="0"/>
        <item t="default"/>
      </items>
    </pivotField>
    <pivotField showAll="0"/>
    <pivotField showAll="0"/>
    <pivotField showAll="0"/>
    <pivotField axis="axisRow" showAll="0">
      <items count="7">
        <item m="1" x="5"/>
        <item m="1" x="3"/>
        <item m="1" x="1"/>
        <item m="1" x="4"/>
        <item x="0"/>
        <item m="1" x="2"/>
        <item t="default"/>
      </items>
    </pivotField>
    <pivotField showAll="0"/>
    <pivotField dataField="1" showAll="0"/>
  </pivotFields>
  <rowFields count="2">
    <field x="1"/>
    <field x="5"/>
  </rowFields>
  <rowItems count="3">
    <i>
      <x v="6"/>
    </i>
    <i r="1">
      <x v="4"/>
    </i>
    <i t="grand">
      <x/>
    </i>
  </rowItems>
  <colItems count="1">
    <i/>
  </colItems>
  <dataFields count="1">
    <dataField name="Сумма по полю Сумма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6B878-F901-4267-894E-589164CA66B1}" name="Суммы типов продажи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4" rowHeaderCaption="Тип продажи">
  <location ref="M1:N2" firstHeaderRow="1" firstDataRow="1" firstDataCol="1"/>
  <pivotFields count="8">
    <pivotField showAll="0"/>
    <pivotField showAll="0"/>
    <pivotField showAll="0"/>
    <pivotField showAll="0"/>
    <pivotField axis="axisRow" showAll="0" sortType="descending">
      <items count="15">
        <item m="1" x="12"/>
        <item m="1" x="5"/>
        <item m="1" x="10"/>
        <item m="1" x="11"/>
        <item m="1" x="4"/>
        <item m="1" x="8"/>
        <item m="1" x="9"/>
        <item m="1" x="1"/>
        <item m="1" x="13"/>
        <item m="1" x="2"/>
        <item x="0"/>
        <item m="1" x="3"/>
        <item m="1"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4"/>
  </rowFields>
  <rowItems count="1">
    <i t="grand">
      <x/>
    </i>
  </rowItems>
  <colItems count="1">
    <i/>
  </colItems>
  <dataFields count="1">
    <dataField name="Сумма по полю Сумма" fld="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86719-3482-450C-BF5D-BCECAA046754}" name="Сумма по дате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 rowHeaderCaption="Дата">
  <location ref="J1:K2" firstHeaderRow="1" firstDataRow="1" firstDataCol="1"/>
  <pivotFields count="8">
    <pivotField axis="axisRow" showAll="0" sortType="ascending">
      <items count="4">
        <item m="1" x="1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">
    <i t="grand">
      <x/>
    </i>
  </rowItems>
  <colItems count="1">
    <i/>
  </colItems>
  <dataFields count="1">
    <dataField name="Сумма по полю Сумма" fld="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NewerThan" evalOrder="-1" id="2">
      <autoFilter ref="A1">
        <filterColumn colId="0">
          <customFilters>
            <customFilter operator="greaterThan" val="36526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375CC-5E17-4CF9-924D-B2AED9F0F889}" name="Суммы по точкам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1" rowHeaderCaption="Точка">
  <location ref="G1:H2" firstHeaderRow="1" firstDataRow="1" firstDataCol="1"/>
  <pivotFields count="8">
    <pivotField showAll="0"/>
    <pivotField axis="axisRow" showAll="0" sortType="descending">
      <items count="8">
        <item m="1" x="5"/>
        <item m="1" x="2"/>
        <item m="1" x="3"/>
        <item m="1" x="4"/>
        <item m="1" x="1"/>
        <item m="1"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">
    <i t="grand">
      <x/>
    </i>
  </rowItems>
  <colItems count="1">
    <i/>
  </colItems>
  <dataFields count="1">
    <dataField name="Сумма по полю Сумма" fld="7" baseField="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D5D8E-0050-4967-9EA4-2ACB2C6C3773}" name="Способы оплаты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4" rowHeaderCaption="Способ оплаты">
  <location ref="D1:E2" firstHeaderRow="1" firstDataRow="1" firstDataCol="1"/>
  <pivotFields count="8">
    <pivotField showAll="0"/>
    <pivotField showAll="0"/>
    <pivotField showAll="0"/>
    <pivotField showAll="0"/>
    <pivotField showAll="0"/>
    <pivotField axis="axisRow" showAll="0" sortType="descending">
      <items count="7">
        <item m="1" x="5"/>
        <item m="1" x="3"/>
        <item m="1" x="1"/>
        <item m="1" x="4"/>
        <item x="0"/>
        <item m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5"/>
  </rowFields>
  <rowItems count="1">
    <i t="grand">
      <x/>
    </i>
  </rowItems>
  <colItems count="1">
    <i/>
  </colItems>
  <dataFields count="1">
    <dataField name="Сумма по полю Сумма" fld="7" baseField="0" baseItem="0"/>
  </dataFields>
  <chartFormats count="6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E2329-AC8A-4C8C-AE38-9D0F46956B1B}" name="Типы продаж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4" rowHeaderCaption="Тип продажи">
  <location ref="A1:B2" firstHeaderRow="1" firstDataRow="1" firstDataCol="1"/>
  <pivotFields count="8">
    <pivotField showAll="0"/>
    <pivotField showAll="0"/>
    <pivotField showAll="0"/>
    <pivotField showAll="0"/>
    <pivotField axis="axisRow" dataField="1" showAll="0" sortType="descending">
      <items count="15">
        <item m="1" x="12"/>
        <item m="1" x="5"/>
        <item m="1" x="7"/>
        <item m="1" x="10"/>
        <item m="1" x="11"/>
        <item m="1" x="4"/>
        <item m="1" x="3"/>
        <item m="1" x="8"/>
        <item m="1" x="6"/>
        <item m="1" x="9"/>
        <item m="1" x="1"/>
        <item m="1" x="13"/>
        <item m="1"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4"/>
  </rowFields>
  <rowItems count="1">
    <i t="grand">
      <x/>
    </i>
  </rowItems>
  <colItems count="1">
    <i/>
  </colItems>
  <dataFields count="1">
    <dataField name="Количество по полю Тип продажи" fld="4" subtotal="count" baseField="0" baseItem="0"/>
  </dataFields>
  <chartFormats count="13"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3" format="26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workbookViewId="0">
      <selection activeCell="B3" sqref="B3"/>
    </sheetView>
  </sheetViews>
  <sheetFormatPr defaultRowHeight="14.4" x14ac:dyDescent="0.3"/>
  <cols>
    <col min="1" max="1" width="10.109375" style="13" bestFit="1" customWidth="1"/>
    <col min="2" max="2" width="20.21875" bestFit="1" customWidth="1"/>
    <col min="3" max="4" width="19.6640625" bestFit="1" customWidth="1"/>
    <col min="5" max="5" width="16.5546875" bestFit="1" customWidth="1"/>
    <col min="6" max="6" width="21.44140625" bestFit="1" customWidth="1"/>
    <col min="7" max="7" width="18.33203125" bestFit="1" customWidth="1"/>
    <col min="8" max="8" width="7" bestFit="1" customWidth="1"/>
    <col min="9" max="9" width="25.44140625" bestFit="1" customWidth="1"/>
    <col min="10" max="10" width="16.109375" bestFit="1" customWidth="1"/>
    <col min="11" max="11" width="13.44140625" bestFit="1" customWidth="1"/>
  </cols>
  <sheetData>
    <row r="1" spans="1:11" s="1" customForma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64" xr:uid="{6484362B-2E84-4502-A5C5-78EF1507CA68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532F-E127-4A8F-9166-D8C967F18E87}">
  <dimension ref="A1:E6"/>
  <sheetViews>
    <sheetView tabSelected="1" workbookViewId="0">
      <selection activeCell="L3" sqref="L3"/>
    </sheetView>
  </sheetViews>
  <sheetFormatPr defaultRowHeight="14.4" x14ac:dyDescent="0.3"/>
  <cols>
    <col min="1" max="1" width="24.44140625" bestFit="1" customWidth="1"/>
    <col min="2" max="2" width="17.21875" customWidth="1"/>
    <col min="3" max="3" width="7" bestFit="1" customWidth="1"/>
    <col min="4" max="4" width="8.77734375" bestFit="1" customWidth="1"/>
    <col min="5" max="5" width="11.44140625" bestFit="1" customWidth="1"/>
    <col min="6" max="6" width="7.109375" bestFit="1" customWidth="1"/>
  </cols>
  <sheetData>
    <row r="1" spans="1:5" ht="15" thickBot="1" x14ac:dyDescent="0.35">
      <c r="A1" s="15" t="s">
        <v>11</v>
      </c>
      <c r="B1" s="16"/>
    </row>
    <row r="2" spans="1:5" x14ac:dyDescent="0.3">
      <c r="A2" s="11" t="s">
        <v>12</v>
      </c>
      <c r="B2" s="12">
        <f>SUBTOTAL(9, Данные!H:H)</f>
        <v>0</v>
      </c>
      <c r="C2" s="2"/>
      <c r="D2" s="2"/>
      <c r="E2" s="2"/>
    </row>
    <row r="3" spans="1:5" x14ac:dyDescent="0.3">
      <c r="A3" s="7" t="s">
        <v>13</v>
      </c>
      <c r="B3" s="8">
        <f>SUBTOTAL(2, Данные!H:H)</f>
        <v>0</v>
      </c>
    </row>
    <row r="4" spans="1:5" x14ac:dyDescent="0.3">
      <c r="A4" s="7" t="s">
        <v>14</v>
      </c>
      <c r="B4" s="8" t="e">
        <f>ROUND(SUBTOTAL(1, Данные!H:H),2)</f>
        <v>#DIV/0!</v>
      </c>
    </row>
    <row r="5" spans="1:5" x14ac:dyDescent="0.3">
      <c r="A5" s="7" t="s">
        <v>15</v>
      </c>
      <c r="B5" s="8">
        <f>SUBTOTAL(4, Данные!H:H)</f>
        <v>0</v>
      </c>
    </row>
    <row r="6" spans="1:5" ht="15" thickBot="1" x14ac:dyDescent="0.35">
      <c r="A6" s="9" t="s">
        <v>16</v>
      </c>
      <c r="B6" s="10">
        <f>SUBTOTAL(5, Данные!H:H)</f>
        <v>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B4-8FC8-458F-A1C3-EB11DC7706DF}">
  <dimension ref="A1:B4"/>
  <sheetViews>
    <sheetView workbookViewId="0"/>
  </sheetViews>
  <sheetFormatPr defaultRowHeight="14.4" x14ac:dyDescent="0.3"/>
  <cols>
    <col min="1" max="1" width="17" bestFit="1" customWidth="1"/>
    <col min="2" max="2" width="21.6640625" bestFit="1" customWidth="1"/>
  </cols>
  <sheetData>
    <row r="1" spans="1:2" x14ac:dyDescent="0.3">
      <c r="A1" s="3" t="s">
        <v>17</v>
      </c>
      <c r="B1" t="s">
        <v>20</v>
      </c>
    </row>
    <row r="2" spans="1:2" x14ac:dyDescent="0.3">
      <c r="A2" s="4" t="s">
        <v>18</v>
      </c>
      <c r="B2" s="5"/>
    </row>
    <row r="3" spans="1:2" x14ac:dyDescent="0.3">
      <c r="A3" s="6" t="s">
        <v>18</v>
      </c>
      <c r="B3" s="5"/>
    </row>
    <row r="4" spans="1:2" x14ac:dyDescent="0.3">
      <c r="A4" s="4" t="s">
        <v>19</v>
      </c>
      <c r="B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26D4-0C07-4B13-A799-BD05B46050B0}">
  <dimension ref="A1:N2"/>
  <sheetViews>
    <sheetView workbookViewId="0">
      <selection activeCell="J1" sqref="J1"/>
    </sheetView>
  </sheetViews>
  <sheetFormatPr defaultRowHeight="14.4" x14ac:dyDescent="0.3"/>
  <cols>
    <col min="1" max="1" width="14.88671875" bestFit="1" customWidth="1"/>
    <col min="2" max="2" width="31.6640625" bestFit="1" customWidth="1"/>
    <col min="3" max="3" width="5.44140625" customWidth="1"/>
    <col min="4" max="4" width="16.6640625" bestFit="1" customWidth="1"/>
    <col min="5" max="5" width="21.6640625" bestFit="1" customWidth="1"/>
    <col min="6" max="6" width="5" bestFit="1" customWidth="1"/>
    <col min="7" max="7" width="11.33203125" bestFit="1" customWidth="1"/>
    <col min="8" max="8" width="21.6640625" bestFit="1" customWidth="1"/>
    <col min="9" max="9" width="5.5546875" customWidth="1"/>
    <col min="10" max="10" width="11.33203125" bestFit="1" customWidth="1"/>
    <col min="11" max="11" width="21.6640625" bestFit="1" customWidth="1"/>
    <col min="12" max="12" width="6.109375" customWidth="1"/>
    <col min="13" max="13" width="14.88671875" bestFit="1" customWidth="1"/>
    <col min="14" max="14" width="21.6640625" bestFit="1" customWidth="1"/>
    <col min="15" max="25" width="5" bestFit="1" customWidth="1"/>
    <col min="26" max="27" width="6" bestFit="1" customWidth="1"/>
    <col min="28" max="28" width="7.21875" bestFit="1" customWidth="1"/>
    <col min="29" max="29" width="11.33203125" bestFit="1" customWidth="1"/>
  </cols>
  <sheetData>
    <row r="1" spans="1:14" x14ac:dyDescent="0.3">
      <c r="A1" s="3" t="s">
        <v>4</v>
      </c>
      <c r="B1" t="s">
        <v>21</v>
      </c>
      <c r="D1" s="3" t="s">
        <v>5</v>
      </c>
      <c r="E1" t="s">
        <v>20</v>
      </c>
      <c r="G1" s="3" t="s">
        <v>1</v>
      </c>
      <c r="H1" t="s">
        <v>20</v>
      </c>
      <c r="J1" s="3" t="s">
        <v>0</v>
      </c>
      <c r="K1" t="s">
        <v>20</v>
      </c>
      <c r="M1" s="3" t="s">
        <v>4</v>
      </c>
      <c r="N1" t="s">
        <v>20</v>
      </c>
    </row>
    <row r="2" spans="1:14" x14ac:dyDescent="0.3">
      <c r="A2" s="4" t="s">
        <v>19</v>
      </c>
      <c r="B2" s="5"/>
      <c r="D2" s="4" t="s">
        <v>19</v>
      </c>
      <c r="E2" s="5"/>
      <c r="G2" s="4" t="s">
        <v>19</v>
      </c>
      <c r="H2" s="5"/>
      <c r="J2" s="4" t="s">
        <v>19</v>
      </c>
      <c r="K2" s="5"/>
      <c r="M2" s="4" t="s">
        <v>19</v>
      </c>
      <c r="N2" s="5"/>
    </row>
  </sheetData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</vt:lpstr>
      <vt:lpstr>Аналитика</vt:lpstr>
      <vt:lpstr>Общая сводная таблица</vt:lpstr>
      <vt:lpstr>Таблицы для диаграмм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Кривов</dc:creator>
  <cp:lastModifiedBy>Александр Кривов</cp:lastModifiedBy>
  <dcterms:created xsi:type="dcterms:W3CDTF">2015-06-05T18:19:34Z</dcterms:created>
  <dcterms:modified xsi:type="dcterms:W3CDTF">2025-11-10T15:47:18Z</dcterms:modified>
</cp:coreProperties>
</file>